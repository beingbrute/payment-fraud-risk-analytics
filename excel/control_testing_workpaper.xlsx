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hidePivotFieldList="1" defaultThemeVersion="166925"/>
  <xr:revisionPtr revIDLastSave="0" documentId="8_{08861433-8421-4EB0-BA30-5BB7083DCEDD}" xr6:coauthVersionLast="47" xr6:coauthVersionMax="47" xr10:uidLastSave="{00000000-0000-0000-0000-000000000000}"/>
  <bookViews>
    <workbookView xWindow="240" yWindow="105" windowWidth="14805" windowHeight="8010" firstSheet="2" xr2:uid="{00000000-000D-0000-FFFF-FFFF00000000}"/>
  </bookViews>
  <sheets>
    <sheet name="Summary" sheetId="1" r:id="rId1"/>
    <sheet name="Results" sheetId="2" r:id="rId2"/>
    <sheet name="Exceptions_Pivot" sheetId="6" r:id="rId3"/>
    <sheet name="Exceptions" sheetId="3" r:id="rId4"/>
    <sheet name="Sample_Review" sheetId="4" r:id="rId5"/>
    <sheet name="Thresholds" sheetId="5" r:id="rId6"/>
  </sheets>
  <calcPr calcId="191028"/>
  <pivotCaches>
    <pivotCache cacheId="90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0" i="1" l="1"/>
  <c r="E10" i="1"/>
  <c r="F9" i="1"/>
  <c r="E9" i="1"/>
  <c r="F8" i="1"/>
  <c r="E8" i="1"/>
  <c r="F7" i="1"/>
  <c r="E7" i="1"/>
  <c r="F6" i="1"/>
  <c r="E6" i="1"/>
  <c r="H10" i="1" l="1"/>
  <c r="G10" i="1"/>
  <c r="H9" i="1"/>
  <c r="G9" i="1"/>
  <c r="H8" i="1"/>
  <c r="G8" i="1"/>
  <c r="H7" i="1"/>
  <c r="G7" i="1"/>
  <c r="H6" i="1"/>
  <c r="G6" i="1"/>
</calcChain>
</file>

<file path=xl/sharedStrings.xml><?xml version="1.0" encoding="utf-8"?>
<sst xmlns="http://schemas.openxmlformats.org/spreadsheetml/2006/main" count="240" uniqueCount="127">
  <si>
    <t>Threshold note: C1 uses 200,000 as its flagging threshold — chosen from the Thresholds sheet experiment as the middle option (recall 33.36%, precision 0.67%), balancing catch-rate against review volume compared to the 100K/500K/1M alternatives tested.</t>
  </si>
  <si>
    <t>Conditional formatting threshold: Recall ≥ 40% = Effective (green), &lt;20% = Ineffective (red). Recall between 20% and 40% is left unformatted (Partially effective).</t>
  </si>
  <si>
    <t>Total actual frauds in the dataset:</t>
  </si>
  <si>
    <t>Control  ID</t>
  </si>
  <si>
    <t>Control Objective</t>
  </si>
  <si>
    <t>Population</t>
  </si>
  <si>
    <t>Test Logic</t>
  </si>
  <si>
    <t>Flagged</t>
  </si>
  <si>
    <t>Frauds caught</t>
  </si>
  <si>
    <t>Precision %</t>
  </si>
  <si>
    <t>Recall %</t>
  </si>
  <si>
    <t>Conclusion</t>
  </si>
  <si>
    <t>C1_high_value_transfer</t>
  </si>
  <si>
    <t>Detect unusually large transfers for review</t>
  </si>
  <si>
    <t>All TRANSFER/CASH_OUT transactions (2,770,409)</t>
  </si>
  <si>
    <t>Flag TRANSFER transactions with amount ≥ 200,000</t>
  </si>
  <si>
    <t>Partially effective – catches ~33% of fraud but precision is extremely low (0.67%), generating heavy false-positive volume</t>
  </si>
  <si>
    <t>C2_account_drained</t>
  </si>
  <si>
    <t>Detect accounts emptied by a single transaction (potential mule/cash-out)</t>
  </si>
  <si>
    <t>Flag transactions where origin balance drops from &gt;0 to 0</t>
  </si>
  <si>
    <t>Partially effective – very high recall (97.55%) but near-zero precision (0.67%) makes it extremely noisy</t>
  </si>
  <si>
    <t>C3_dest_no_balance_movement</t>
  </si>
  <si>
    <t>Detect destination accounts receiving funds with no balance change (data integrity / mule signal)</t>
  </si>
  <si>
    <t>Flag TRANSFER/CASH_OUT transactions where destination balance doesn't move</t>
  </si>
  <si>
    <t>Effective – best balance of precision (70.46%) and recall (49.56%) among all 5 controls</t>
  </si>
  <si>
    <t>C4_transfer_then_cashout</t>
  </si>
  <si>
    <t>Detect a transfer followed by a same-amount cash-out within one step (mule pattern)</t>
  </si>
  <si>
    <t>Flag TRANSFER transactions followed by a same-amount CASH_OUT within one step</t>
  </si>
  <si>
    <t>Effective – strong balance (64.67% precision, 49.65% recall)</t>
  </si>
  <si>
    <t>C5_orig_balance_mismatch</t>
  </si>
  <si>
    <t>Detect balance reconciliation errors between pre/post transaction balances</t>
  </si>
  <si>
    <t>Flag transactions where origin balance doesn't reconcile with amount moved</t>
  </si>
  <si>
    <t>Ineffective – flags 2.49M transactions (largest volume of all controls) but catches almost no fraud (0.55% recall); mostly a known PaySim data artifact</t>
  </si>
  <si>
    <t>control_name</t>
  </si>
  <si>
    <t>flagged</t>
  </si>
  <si>
    <t>frauds_caught</t>
  </si>
  <si>
    <t>precision_pct</t>
  </si>
  <si>
    <t>recall_pct</t>
  </si>
  <si>
    <t>threshold</t>
  </si>
  <si>
    <t>check_name</t>
  </si>
  <si>
    <t>Sum of exceptions</t>
  </si>
  <si>
    <t>Average of fraud_share_pct</t>
  </si>
  <si>
    <t>DQ2_non_positive_amount</t>
  </si>
  <si>
    <t>DQ3_orig_balance_mismatch</t>
  </si>
  <si>
    <t>DQ4_dest_balance_mismatch</t>
  </si>
  <si>
    <t>DQ5_amount_exceeds_balance</t>
  </si>
  <si>
    <t>Grand Total</t>
  </si>
  <si>
    <t>exceptions</t>
  </si>
  <si>
    <t>pct_of_txns</t>
  </si>
  <si>
    <t>of_which_fraud</t>
  </si>
  <si>
    <t>fraud_share_pct</t>
  </si>
  <si>
    <t>Stratified sample of 25 flagged transactions (5 randomly selected per control), reviewed manually. Result: 7/25 were actual fraud (C3 4/5, C4 3/5). The other 18 were false positives (C1 0/5, C2 0/5, C5 0/5, C3 1/5, C4 2/5).</t>
  </si>
  <si>
    <t>txn_id</t>
  </si>
  <si>
    <t>type</t>
  </si>
  <si>
    <t>amount</t>
  </si>
  <si>
    <t>orig_account</t>
  </si>
  <si>
    <t>oldbalance_orig</t>
  </si>
  <si>
    <t>newbalance_orig</t>
  </si>
  <si>
    <t>dest_account</t>
  </si>
  <si>
    <t>oldbalance_dest</t>
  </si>
  <si>
    <t>newbalance_dest</t>
  </si>
  <si>
    <t>is_fraud</t>
  </si>
  <si>
    <t>day_number</t>
  </si>
  <si>
    <t>hour_of_day</t>
  </si>
  <si>
    <t>Reviewer conclusion</t>
  </si>
  <si>
    <t>Comment</t>
  </si>
  <si>
    <t>TRANSFER</t>
  </si>
  <si>
    <t>6c4b6256d209b1af13fd40c3d5e9b3f429f052d799c3b148b7889bb9db3b5ee5</t>
  </si>
  <si>
    <t>1003cda847f09ee151e4f012a1b62f69dbacc68d7355cd85133babaf0a64f7f1</t>
  </si>
  <si>
    <t>False positive</t>
  </si>
  <si>
    <t>Large transfer (≥ 200,000) with no fraud indicators</t>
  </si>
  <si>
    <t>2e8e51141d87eb0848a8ec50112e66e25d2424c85e047afd016bdf106e4953a5</t>
  </si>
  <si>
    <t>3c712da2c4d2776a36177d61fb14cb14e2641d283d00a60cd52545fd8dab2abd</t>
  </si>
  <si>
    <t>ad6a348c0a456a52a3c9029d633575fff7ba7af40c09791cc3092e69d54ab66a</t>
  </si>
  <si>
    <t>4bf9e820d9a050aaf20e4e854756f565df95d488e51bd0c266e0da304b000aa6</t>
  </si>
  <si>
    <t>24bc450dd48b3ac53ee52449d84d170cfb75e5b622f870eed06dee478b10b1a2</t>
  </si>
  <si>
    <t>e921ac24ab9d89177baa045202712f7946a01ffb6085f4231358440765e5ebbe</t>
  </si>
  <si>
    <t>71f477fc9e72de119c557d1f253352667ba7682eee2eacc1263f7e1854a3f4f7</t>
  </si>
  <si>
    <t>bdee0a6614732e8ed037f35d4399999121fca77b882502e7cd437cd92f755a21</t>
  </si>
  <si>
    <t>CASH_OUT</t>
  </si>
  <si>
    <t>053aa353745f9f7755cf27756adc7302738d8c339183daed21d05b9887caf5fb</t>
  </si>
  <si>
    <t>1a42f46285b132616e22b93318b79ea948f06c5b9dc886275d0ac83615576b46</t>
  </si>
  <si>
    <t>Account drained by a cash-out, not fraud</t>
  </si>
  <si>
    <t>e0816f6f7c0132523039392bc2e2e726028547191d671d3bf562aed875d0450c</t>
  </si>
  <si>
    <t>8189a6b78e40a1d6b134e6ea0bf3e5a10edf10de1b3ff1a62d04ac4dc766ea92</t>
  </si>
  <si>
    <t>56502300bfe7330114202462070ea72b3a4243da327ec25462724bc1c3db7fa8</t>
  </si>
  <si>
    <t>f8a21d055d2bcd69b6f510b258d04dfae943b31ee8e338c7c711b2aa620133d3</t>
  </si>
  <si>
    <t>448a3b5538dcd6ed68073cf21f2a227f34a2a9acf10dc1399a7e34bd45cc7fd1</t>
  </si>
  <si>
    <t>1d3967c9217a45b24d23e75c6e7a1248d4448bf9cf7e95a69895f600c9107a2c</t>
  </si>
  <si>
    <t>668b1705d886afe88e9be440a230eec3189839ad6b075dbc045d7abdca71101f</t>
  </si>
  <si>
    <t>9347998849cebd83f8fcd4584416aeaf64f9952710e85ab5e75c620d90882ca2</t>
  </si>
  <si>
    <t>f24d22553080704072be0e81e4c99563b4f050f83dd8ba15b43c09cf19e936f9</t>
  </si>
  <si>
    <t>9e95af96b0bd18bf261649b528d9da89f46210a415a2745c1deaa567cb116d99</t>
  </si>
  <si>
    <t>CASH_OUT to a destination with no balance movement, not fraud</t>
  </si>
  <si>
    <t>ef1e76f9ded566746ecb58d6bf35b8223f9da9bba9035c68faaf100a06f7ca76</t>
  </si>
  <si>
    <t>92be20477d447ffeda466a7a5c96043074f3f32dc32b0e573eac91b24f5b0b5c</t>
  </si>
  <si>
    <t>Confirmed fraud</t>
  </si>
  <si>
    <t>Full-balance TRANSFER to a destination with no balance movement</t>
  </si>
  <si>
    <t>50563f71265a00d894fd71f33425ee02727e69d128a41090f1001fccfc690e78</t>
  </si>
  <si>
    <t>2d431aad13b5bec84745f1c13b5764497e8bd2c51d3c1ce87a0b55ea4778a51e</t>
  </si>
  <si>
    <t>8ed9f63575621cefe41c2bdf7adb0798016c67c53d67c5e63898ff080b07c452</t>
  </si>
  <si>
    <t>f3f5b49ea0afb201588de74a4cab7e3a067dc1c5e3c3bc622dcb4d17232cbfd3</t>
  </si>
  <si>
    <t>409146f7ea79b9d8fda3fe3982fe509cafc822fb637796c6c999fb7646f09878</t>
  </si>
  <si>
    <t>45843f25948c6f389b35f837dae6f109105bd53350eaf40fe7f8f538de44f1e3</t>
  </si>
  <si>
    <t>7a8ebeb2f13d2d8b3402086877b48484c0afdde6987e06dab4eeadba08b756a6</t>
  </si>
  <si>
    <t>4c6f57aadc6a08830c250fc0b314e08909e299841912ea426e7ded4341b832af</t>
  </si>
  <si>
    <t>Full-balance TRANSFER matched to a same-amount cash-out</t>
  </si>
  <si>
    <t>a12f8e7b695cc019d1b3bc0759eb69f4e6d5d71ecc187baccc670f7e342db26b</t>
  </si>
  <si>
    <t>0a8bfc17969de47e72498bfdbb5af4b79e9b22f8497f3f31d332d8f5071e7c67</t>
  </si>
  <si>
    <t>Matched an unrelated cash-out. C4 has no account link, and 10,000,000 is PaySim's transfer cap</t>
  </si>
  <si>
    <t>9befdd7da870e17791827a28469a8b116e2d481981a8bbd54196059bb1694241</t>
  </si>
  <si>
    <t>58a76156d4bbf2612450ca41edf58a93b3a1afc69d7beda90e0645276e1d9ada</t>
  </si>
  <si>
    <t>150e22ef2a2330a1b1e11229a0221ad6ecc067daae24ebbda2f4392dcdc16f73</t>
  </si>
  <si>
    <t>b004cc8276e110e6c103222fa2d92acae348bf345ff08ce1dd3ef006be418728</t>
  </si>
  <si>
    <t>9248384aaba088976fc7121732b34d64edf8bf39a3bc457c483076c6802afe0e</t>
  </si>
  <si>
    <t>b7838fa7e484d69f59c95660903bf0a6aa25dc1ef13893a23a2b9d3ee5a377d3</t>
  </si>
  <si>
    <t>66bde12d1d62a3adb22f273bc80bfa9c7b418c9e0f33e97e84005a48d4325dbc</t>
  </si>
  <si>
    <t>6b5842fddea85d7ce076b01cdf9347270132bd9ecd951cc4140b005c25e677c9</t>
  </si>
  <si>
    <t>Known PaySim balance artifact (balance fields inconsistent with the amount)</t>
  </si>
  <si>
    <t>15149bb75597ac8b009e2466ad0fca1a512e4ddb837f9693edc47bdfe924b851</t>
  </si>
  <si>
    <t>8749d2237c25dce0caf6f338315073eedb4bbb2322cbabfaa2d41c9bc3a7c75b</t>
  </si>
  <si>
    <t>107a952d4ac87858c34469db924b95ac39b2baf509e59de0d39421d659c0a498</t>
  </si>
  <si>
    <t>14a2bfc24b0f26cb10a4295f2c34bc7d29f6ceeb1d9b63fe5a7bc37d145e72a3</t>
  </si>
  <si>
    <t>53d2015cae97d645ad1536a170ba7e82b22c2eed9dbc91711376e5129d5449fd</t>
  </si>
  <si>
    <t>58a14b474aa95922bd901f3feef647abcb65fc2dc40025e5bf91c0fc4bda5478</t>
  </si>
  <si>
    <t>d389f966493ea92ce9b3957715bc14d551866985158c7f3c486395beb1c59929</t>
  </si>
  <si>
    <t>8bb9b67e31009d4a6bfc609c19548ef80a30ed76bf379b5ae581c0f20b356202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</si>
</sst>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11" fontId="0" fillId="0" borderId="0" xfId="0" applyNumberFormat="1"/>
    <xf numFmtId="0" fontId="0" fillId="0" borderId="0" xfId="0" applyAlignment="1">
      <alignment readingOrder="1"/>
    </xf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/>
    </dxf>
    <dxf>
      <alignment horizontal="center"/>
    </dxf>
    <dxf>
      <alignment horizontal="center"/>
    </dxf>
    <dxf>
      <numFmt numFmtId="2" formatCode="0.0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C1 Threshold: Precision vs Recall Trade-off</a:t>
            </a:r>
          </a:p>
        </c:rich>
      </c:tx>
      <c:layout>
        <c:manualLayout>
          <c:xMode val="edge"/>
          <c:yMode val="edge"/>
          <c:x val="0.22944227087513172"/>
          <c:y val="2.83186020752673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Thresholds!$D$1</c:f>
              <c:strCache>
                <c:ptCount val="1"/>
                <c:pt idx="0">
                  <c:v>precision_pct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Thresholds!$A$2:$A$5</c:f>
              <c:numCache>
                <c:formatCode>General</c:formatCode>
                <c:ptCount val="4"/>
                <c:pt idx="0">
                  <c:v>100000</c:v>
                </c:pt>
                <c:pt idx="1">
                  <c:v>200000</c:v>
                </c:pt>
                <c:pt idx="2">
                  <c:v>500000</c:v>
                </c:pt>
                <c:pt idx="3">
                  <c:v>1000000</c:v>
                </c:pt>
              </c:numCache>
            </c:numRef>
          </c:cat>
          <c:val>
            <c:numRef>
              <c:f>Thresholds!$D$2:$D$5</c:f>
              <c:numCache>
                <c:formatCode>General</c:formatCode>
                <c:ptCount val="4"/>
                <c:pt idx="0">
                  <c:v>0.69</c:v>
                </c:pt>
                <c:pt idx="1">
                  <c:v>0.67</c:v>
                </c:pt>
                <c:pt idx="2">
                  <c:v>0.74</c:v>
                </c:pt>
                <c:pt idx="3">
                  <c:v>1.06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B-4960-B698-E9907B47CAF1}"/>
            </c:ext>
          </c:extLst>
        </c:ser>
        <c:ser>
          <c:idx val="2"/>
          <c:order val="1"/>
          <c:tx>
            <c:strRef>
              <c:f>Thresholds!$E$1</c:f>
              <c:strCache>
                <c:ptCount val="1"/>
                <c:pt idx="0">
                  <c:v>recall_pct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Thresholds!$A$2:$A$5</c:f>
              <c:numCache>
                <c:formatCode>General</c:formatCode>
                <c:ptCount val="4"/>
                <c:pt idx="0">
                  <c:v>100000</c:v>
                </c:pt>
                <c:pt idx="1">
                  <c:v>200000</c:v>
                </c:pt>
                <c:pt idx="2">
                  <c:v>500000</c:v>
                </c:pt>
                <c:pt idx="3">
                  <c:v>1000000</c:v>
                </c:pt>
              </c:numCache>
            </c:numRef>
          </c:cat>
          <c:val>
            <c:numRef>
              <c:f>Thresholds!$E$2:$E$5</c:f>
              <c:numCache>
                <c:formatCode>General</c:formatCode>
                <c:ptCount val="4"/>
                <c:pt idx="0">
                  <c:v>39.630000000000003</c:v>
                </c:pt>
                <c:pt idx="1">
                  <c:v>33.36</c:v>
                </c:pt>
                <c:pt idx="2">
                  <c:v>23.62</c:v>
                </c:pt>
                <c:pt idx="3">
                  <c:v>16.57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1DB-4960-B698-E9907B47C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2428296"/>
        <c:axId val="932430344"/>
      </c:lineChart>
      <c:catAx>
        <c:axId val="932428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430344"/>
        <c:crosses val="autoZero"/>
        <c:auto val="1"/>
        <c:lblAlgn val="ctr"/>
        <c:lblOffset val="100"/>
        <c:noMultiLvlLbl val="0"/>
      </c:catAx>
      <c:valAx>
        <c:axId val="932430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428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590550</xdr:colOff>
      <xdr:row>1</xdr:row>
      <xdr:rowOff>0</xdr:rowOff>
    </xdr:from>
    <xdr:to>
      <xdr:col>15</xdr:col>
      <xdr:colOff>95250</xdr:colOff>
      <xdr:row>19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520646-4EED-89A8-25BF-901B3FB167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6.94964525463" createdVersion="8" refreshedVersion="8" minRefreshableVersion="3" recordCount="4" xr:uid="{C88C0AA2-C060-4B1E-82BB-C5E7D5DD7984}">
  <cacheSource type="worksheet">
    <worksheetSource ref="A1:E5" sheet="Exceptions"/>
  </cacheSource>
  <cacheFields count="5">
    <cacheField name="check_name" numFmtId="0">
      <sharedItems count="4">
        <s v="DQ3_orig_balance_mismatch"/>
        <s v="DQ5_amount_exceeds_balance"/>
        <s v="DQ4_dest_balance_mismatch"/>
        <s v="DQ2_non_positive_amount"/>
      </sharedItems>
    </cacheField>
    <cacheField name="exceptions" numFmtId="0">
      <sharedItems containsSemiMixedTypes="0" containsString="0" containsNumber="1" containsInteger="1" minValue="16" maxValue="3601595"/>
    </cacheField>
    <cacheField name="pct_of_txns" numFmtId="0">
      <sharedItems containsSemiMixedTypes="0" containsString="0" containsNumber="1" minValue="0" maxValue="56.606000000000002"/>
    </cacheField>
    <cacheField name="of_which_fraud" numFmtId="0">
      <sharedItems containsSemiMixedTypes="0" containsString="0" containsNumber="1" containsInteger="1" minValue="16" maxValue="4236"/>
    </cacheField>
    <cacheField name="fraud_share_pct" numFmtId="0">
      <sharedItems containsSemiMixedTypes="0" containsString="0" containsNumber="1" minValue="0" maxValue="1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3601595"/>
    <n v="56.606000000000002"/>
    <n v="45"/>
    <n v="0"/>
  </r>
  <r>
    <x v="1"/>
    <n v="3601544"/>
    <n v="56.604999999999997"/>
    <n v="29"/>
    <n v="0"/>
  </r>
  <r>
    <x v="2"/>
    <n v="269723"/>
    <n v="4.2389999999999999"/>
    <n v="4236"/>
    <n v="1.57"/>
  </r>
  <r>
    <x v="3"/>
    <n v="16"/>
    <n v="0"/>
    <n v="16"/>
    <n v="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2C2D93-BB08-4C1A-92AB-9DB24D5B2A53}" name="PivotTable1" cacheId="9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8" firstHeaderRow="0" firstDataRow="1" firstDataCol="1"/>
  <pivotFields count="5">
    <pivotField axis="axisRow" compact="0" outline="0" showAll="0">
      <items count="5">
        <item x="3"/>
        <item x="0"/>
        <item x="2"/>
        <item x="1"/>
        <item t="default"/>
      </items>
    </pivotField>
    <pivotField dataField="1" compact="0" outline="0" showAll="0"/>
    <pivotField compact="0" outline="0" showAll="0"/>
    <pivotField compact="0" outline="0" showAll="0"/>
    <pivotField dataField="1"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xceptions" fld="1" baseField="0" baseItem="0"/>
    <dataField name="Average of fraud_share_pct" fld="4" subtotal="average" baseField="0" baseItem="0"/>
  </dataFields>
  <formats count="4">
    <format dxfId="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">
      <pivotArea field="0" type="button" dataOnly="0" labelOnly="1" outline="0" axis="axisRow" fieldPosition="0"/>
    </format>
    <format dxfId="5">
      <pivotArea field="0" grandRow="1" outline="0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topLeftCell="H1" workbookViewId="0">
      <selection activeCell="I14" sqref="I14"/>
    </sheetView>
  </sheetViews>
  <sheetFormatPr defaultRowHeight="15"/>
  <cols>
    <col min="1" max="1" width="112.42578125" customWidth="1"/>
    <col min="2" max="2" width="83.140625" customWidth="1"/>
    <col min="3" max="3" width="44" customWidth="1"/>
    <col min="4" max="4" width="74" customWidth="1"/>
    <col min="5" max="5" width="13.140625" customWidth="1"/>
    <col min="6" max="6" width="14.7109375" customWidth="1"/>
    <col min="7" max="7" width="13.85546875" customWidth="1"/>
    <col min="8" max="8" width="15" customWidth="1"/>
    <col min="9" max="9" width="128.140625" customWidth="1"/>
  </cols>
  <sheetData>
    <row r="1" spans="1:9">
      <c r="A1" t="s">
        <v>0</v>
      </c>
    </row>
    <row r="2" spans="1:9">
      <c r="A2" t="s">
        <v>1</v>
      </c>
    </row>
    <row r="3" spans="1:9">
      <c r="A3" t="s">
        <v>2</v>
      </c>
      <c r="B3">
        <v>8213</v>
      </c>
    </row>
    <row r="5" spans="1:9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</row>
    <row r="6" spans="1:9">
      <c r="A6" t="s">
        <v>12</v>
      </c>
      <c r="B6" t="s">
        <v>13</v>
      </c>
      <c r="C6" t="s">
        <v>14</v>
      </c>
      <c r="D6" t="s">
        <v>15</v>
      </c>
      <c r="E6">
        <f>_xlfn.XLOOKUP(A6,Results!A:A,Results!B:B)</f>
        <v>409110</v>
      </c>
      <c r="F6">
        <f>_xlfn.XLOOKUP(A6,Results!A:A,Results!C:C)</f>
        <v>2740</v>
      </c>
      <c r="G6">
        <f>F6/E6*100</f>
        <v>0.66974652294004056</v>
      </c>
      <c r="H6">
        <f>F6/$B$3*100</f>
        <v>33.361743577255574</v>
      </c>
      <c r="I6" t="s">
        <v>16</v>
      </c>
    </row>
    <row r="7" spans="1:9">
      <c r="A7" t="s">
        <v>17</v>
      </c>
      <c r="B7" t="s">
        <v>18</v>
      </c>
      <c r="C7" t="s">
        <v>14</v>
      </c>
      <c r="D7" s="3" t="s">
        <v>19</v>
      </c>
      <c r="E7">
        <f>_xlfn.XLOOKUP(A7,Results!A:A,Results!B:B)</f>
        <v>1188074</v>
      </c>
      <c r="F7">
        <f>_xlfn.XLOOKUP(A7,Results!A:A,Results!C:C)</f>
        <v>8012</v>
      </c>
      <c r="G7">
        <f>F7/E7*100</f>
        <v>0.67436876827537673</v>
      </c>
      <c r="H7">
        <f>F7/$B$3*100</f>
        <v>97.552660416413005</v>
      </c>
      <c r="I7" t="s">
        <v>20</v>
      </c>
    </row>
    <row r="8" spans="1:9">
      <c r="A8" t="s">
        <v>21</v>
      </c>
      <c r="B8" t="s">
        <v>22</v>
      </c>
      <c r="C8" t="s">
        <v>14</v>
      </c>
      <c r="D8" t="s">
        <v>23</v>
      </c>
      <c r="E8">
        <f>_xlfn.XLOOKUP(A8,Results!A:A,Results!B:B)</f>
        <v>5776</v>
      </c>
      <c r="F8">
        <f>_xlfn.XLOOKUP(A8,Results!A:A,Results!C:C)</f>
        <v>4070</v>
      </c>
      <c r="G8">
        <f>F8/E8*100</f>
        <v>70.463988919667585</v>
      </c>
      <c r="H8">
        <f>F8/$B$3*100</f>
        <v>49.555582612930721</v>
      </c>
      <c r="I8" t="s">
        <v>24</v>
      </c>
    </row>
    <row r="9" spans="1:9">
      <c r="A9" t="s">
        <v>25</v>
      </c>
      <c r="B9" t="s">
        <v>26</v>
      </c>
      <c r="C9" t="s">
        <v>14</v>
      </c>
      <c r="D9" t="s">
        <v>27</v>
      </c>
      <c r="E9">
        <f>_xlfn.XLOOKUP(A9,Results!A:A,Results!B:B)</f>
        <v>6306</v>
      </c>
      <c r="F9">
        <f>_xlfn.XLOOKUP(A9,Results!A:A,Results!C:C)</f>
        <v>4078</v>
      </c>
      <c r="G9">
        <f>F9/E9*100</f>
        <v>64.6685696162385</v>
      </c>
      <c r="H9">
        <f>F9/$B$3*100</f>
        <v>49.652989163521248</v>
      </c>
      <c r="I9" t="s">
        <v>28</v>
      </c>
    </row>
    <row r="10" spans="1:9">
      <c r="A10" t="s">
        <v>29</v>
      </c>
      <c r="B10" t="s">
        <v>30</v>
      </c>
      <c r="C10" t="s">
        <v>14</v>
      </c>
      <c r="D10" t="s">
        <v>31</v>
      </c>
      <c r="E10">
        <f>_xlfn.XLOOKUP(A10,Results!A:A,Results!B:B)</f>
        <v>2488652</v>
      </c>
      <c r="F10">
        <f>_xlfn.XLOOKUP(A10,Results!A:A,Results!C:C)</f>
        <v>45</v>
      </c>
      <c r="G10">
        <f>F10/E10*100</f>
        <v>1.8082078169225748E-3</v>
      </c>
      <c r="H10">
        <f>F10/$B$3*100</f>
        <v>0.54791184707171559</v>
      </c>
      <c r="I10" t="s">
        <v>32</v>
      </c>
    </row>
  </sheetData>
  <conditionalFormatting sqref="H6:H10">
    <cfRule type="cellIs" dxfId="1" priority="2" operator="greaterThanOrEqual">
      <formula>40</formula>
    </cfRule>
  </conditionalFormatting>
  <conditionalFormatting sqref="H6:H10">
    <cfRule type="cellIs" dxfId="0" priority="1" operator="lessThan">
      <formula>20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2C9B0-8C37-449F-BA95-A7FF27F20A83}">
  <dimension ref="A1:E13"/>
  <sheetViews>
    <sheetView workbookViewId="0">
      <selection activeCell="E13" sqref="E13"/>
    </sheetView>
  </sheetViews>
  <sheetFormatPr defaultRowHeight="15"/>
  <cols>
    <col min="1" max="1" width="30.42578125" customWidth="1"/>
    <col min="2" max="2" width="12.140625" customWidth="1"/>
    <col min="3" max="3" width="14.85546875" customWidth="1"/>
    <col min="4" max="4" width="14.140625" customWidth="1"/>
    <col min="5" max="5" width="11.85546875" customWidth="1"/>
  </cols>
  <sheetData>
    <row r="1" spans="1:5">
      <c r="A1" t="s">
        <v>33</v>
      </c>
      <c r="B1" t="s">
        <v>34</v>
      </c>
      <c r="C1" t="s">
        <v>35</v>
      </c>
      <c r="D1" t="s">
        <v>36</v>
      </c>
      <c r="E1" t="s">
        <v>37</v>
      </c>
    </row>
    <row r="2" spans="1:5">
      <c r="A2" t="s">
        <v>17</v>
      </c>
      <c r="B2">
        <v>1188074</v>
      </c>
      <c r="C2">
        <v>8012</v>
      </c>
      <c r="D2">
        <v>0.67</v>
      </c>
      <c r="E2">
        <v>97.55</v>
      </c>
    </row>
    <row r="3" spans="1:5">
      <c r="A3" t="s">
        <v>25</v>
      </c>
      <c r="B3">
        <v>6306</v>
      </c>
      <c r="C3">
        <v>4078</v>
      </c>
      <c r="D3">
        <v>64.67</v>
      </c>
      <c r="E3">
        <v>49.65</v>
      </c>
    </row>
    <row r="4" spans="1:5">
      <c r="A4" t="s">
        <v>21</v>
      </c>
      <c r="B4">
        <v>5776</v>
      </c>
      <c r="C4">
        <v>4070</v>
      </c>
      <c r="D4">
        <v>70.459999999999994</v>
      </c>
      <c r="E4">
        <v>49.56</v>
      </c>
    </row>
    <row r="5" spans="1:5">
      <c r="A5" t="s">
        <v>12</v>
      </c>
      <c r="B5">
        <v>409110</v>
      </c>
      <c r="C5">
        <v>2740</v>
      </c>
      <c r="D5">
        <v>0.67</v>
      </c>
      <c r="E5">
        <v>33.36</v>
      </c>
    </row>
    <row r="6" spans="1:5">
      <c r="A6" t="s">
        <v>29</v>
      </c>
      <c r="B6">
        <v>2488652</v>
      </c>
      <c r="C6">
        <v>45</v>
      </c>
      <c r="D6">
        <v>0</v>
      </c>
      <c r="E6">
        <v>0.55000000000000004</v>
      </c>
    </row>
    <row r="9" spans="1:5">
      <c r="A9" t="s">
        <v>38</v>
      </c>
      <c r="B9" t="s">
        <v>34</v>
      </c>
      <c r="C9" t="s">
        <v>35</v>
      </c>
      <c r="D9" t="s">
        <v>36</v>
      </c>
      <c r="E9" t="s">
        <v>37</v>
      </c>
    </row>
    <row r="10" spans="1:5">
      <c r="A10">
        <v>100000</v>
      </c>
      <c r="B10">
        <v>470866</v>
      </c>
      <c r="C10">
        <v>3255</v>
      </c>
      <c r="D10">
        <v>0.69</v>
      </c>
      <c r="E10">
        <v>39.630000000000003</v>
      </c>
    </row>
    <row r="11" spans="1:5">
      <c r="A11">
        <v>200000</v>
      </c>
      <c r="B11">
        <v>409110</v>
      </c>
      <c r="C11">
        <v>2740</v>
      </c>
      <c r="D11">
        <v>0.67</v>
      </c>
      <c r="E11">
        <v>33.36</v>
      </c>
    </row>
    <row r="12" spans="1:5">
      <c r="A12">
        <v>500000</v>
      </c>
      <c r="B12">
        <v>261068</v>
      </c>
      <c r="C12">
        <v>1940</v>
      </c>
      <c r="D12">
        <v>0.74</v>
      </c>
      <c r="E12">
        <v>23.62</v>
      </c>
    </row>
    <row r="13" spans="1:5">
      <c r="A13">
        <v>1000000</v>
      </c>
      <c r="B13">
        <v>128859</v>
      </c>
      <c r="C13">
        <v>1361</v>
      </c>
      <c r="D13">
        <v>1.06</v>
      </c>
      <c r="E13">
        <v>16.57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270A8-09D2-4B7B-8D37-DF8D3E646486}">
  <dimension ref="A3:C8"/>
  <sheetViews>
    <sheetView workbookViewId="0">
      <selection activeCell="E15" sqref="E15"/>
    </sheetView>
  </sheetViews>
  <sheetFormatPr defaultRowHeight="15"/>
  <cols>
    <col min="1" max="1" width="29.42578125" bestFit="1" customWidth="1"/>
    <col min="2" max="2" width="17.7109375" bestFit="1" customWidth="1"/>
    <col min="3" max="3" width="26.42578125" bestFit="1" customWidth="1"/>
  </cols>
  <sheetData>
    <row r="3" spans="1:3">
      <c r="A3" s="5" t="s">
        <v>39</v>
      </c>
      <c r="B3" s="4" t="s">
        <v>40</v>
      </c>
      <c r="C3" s="4" t="s">
        <v>41</v>
      </c>
    </row>
    <row r="4" spans="1:3">
      <c r="A4" t="s">
        <v>42</v>
      </c>
      <c r="B4" s="1">
        <v>16</v>
      </c>
      <c r="C4" s="1">
        <v>100</v>
      </c>
    </row>
    <row r="5" spans="1:3">
      <c r="A5" t="s">
        <v>43</v>
      </c>
      <c r="B5" s="1">
        <v>3601595</v>
      </c>
      <c r="C5" s="1">
        <v>0</v>
      </c>
    </row>
    <row r="6" spans="1:3">
      <c r="A6" t="s">
        <v>44</v>
      </c>
      <c r="B6" s="1">
        <v>269723</v>
      </c>
      <c r="C6" s="1">
        <v>1.57</v>
      </c>
    </row>
    <row r="7" spans="1:3">
      <c r="A7" t="s">
        <v>45</v>
      </c>
      <c r="B7" s="1">
        <v>3601544</v>
      </c>
      <c r="C7" s="1">
        <v>0</v>
      </c>
    </row>
    <row r="8" spans="1:3">
      <c r="A8" t="s">
        <v>46</v>
      </c>
      <c r="B8" s="1">
        <v>7472878</v>
      </c>
      <c r="C8" s="6">
        <v>25.392499999999998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D7DFF-043D-4438-9372-EE84C6B1AC0C}">
  <dimension ref="A1:E5"/>
  <sheetViews>
    <sheetView workbookViewId="0">
      <selection sqref="A1:E5"/>
    </sheetView>
  </sheetViews>
  <sheetFormatPr defaultRowHeight="15"/>
  <cols>
    <col min="1" max="1" width="28.28515625" customWidth="1"/>
    <col min="2" max="2" width="13.42578125" customWidth="1"/>
    <col min="3" max="3" width="12.5703125" customWidth="1"/>
    <col min="4" max="4" width="14.85546875" customWidth="1"/>
    <col min="5" max="5" width="16.140625" customWidth="1"/>
  </cols>
  <sheetData>
    <row r="1" spans="1:5">
      <c r="A1" t="s">
        <v>39</v>
      </c>
      <c r="B1" t="s">
        <v>47</v>
      </c>
      <c r="C1" t="s">
        <v>48</v>
      </c>
      <c r="D1" t="s">
        <v>49</v>
      </c>
      <c r="E1" t="s">
        <v>50</v>
      </c>
    </row>
    <row r="2" spans="1:5">
      <c r="A2" t="s">
        <v>43</v>
      </c>
      <c r="B2">
        <v>3601595</v>
      </c>
      <c r="C2">
        <v>56.606000000000002</v>
      </c>
      <c r="D2">
        <v>45</v>
      </c>
      <c r="E2">
        <v>0</v>
      </c>
    </row>
    <row r="3" spans="1:5">
      <c r="A3" t="s">
        <v>45</v>
      </c>
      <c r="B3">
        <v>3601544</v>
      </c>
      <c r="C3">
        <v>56.604999999999997</v>
      </c>
      <c r="D3">
        <v>29</v>
      </c>
      <c r="E3">
        <v>0</v>
      </c>
    </row>
    <row r="4" spans="1:5">
      <c r="A4" t="s">
        <v>44</v>
      </c>
      <c r="B4">
        <v>269723</v>
      </c>
      <c r="C4">
        <v>4.2389999999999999</v>
      </c>
      <c r="D4">
        <v>4236</v>
      </c>
      <c r="E4">
        <v>1.57</v>
      </c>
    </row>
    <row r="5" spans="1:5">
      <c r="A5" t="s">
        <v>42</v>
      </c>
      <c r="B5">
        <v>16</v>
      </c>
      <c r="C5">
        <v>0</v>
      </c>
      <c r="D5">
        <v>16</v>
      </c>
      <c r="E5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5760D-8E96-46A7-B63C-735843699A44}">
  <dimension ref="A1:O27"/>
  <sheetViews>
    <sheetView topLeftCell="M16" workbookViewId="0">
      <selection activeCell="O31" sqref="O31"/>
    </sheetView>
  </sheetViews>
  <sheetFormatPr defaultRowHeight="15"/>
  <cols>
    <col min="1" max="1" width="31.5703125" customWidth="1"/>
    <col min="2" max="2" width="14.5703125" customWidth="1"/>
    <col min="3" max="3" width="11.42578125" customWidth="1"/>
    <col min="4" max="4" width="12.28515625" customWidth="1"/>
    <col min="5" max="5" width="15.7109375" customWidth="1"/>
    <col min="6" max="6" width="16" customWidth="1"/>
    <col min="7" max="7" width="16.5703125" customWidth="1"/>
    <col min="8" max="8" width="15.7109375" customWidth="1"/>
    <col min="9" max="9" width="15.5703125" customWidth="1"/>
    <col min="10" max="10" width="16.140625" customWidth="1"/>
    <col min="11" max="11" width="8" customWidth="1"/>
    <col min="12" max="12" width="12.28515625" customWidth="1"/>
    <col min="13" max="13" width="12" customWidth="1"/>
    <col min="14" max="14" width="18.140625" customWidth="1"/>
    <col min="15" max="15" width="86.85546875" customWidth="1"/>
  </cols>
  <sheetData>
    <row r="1" spans="1:15">
      <c r="A1" t="s">
        <v>51</v>
      </c>
    </row>
    <row r="2" spans="1:15">
      <c r="A2" t="s">
        <v>33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62</v>
      </c>
      <c r="M2" t="s">
        <v>63</v>
      </c>
      <c r="N2" t="s">
        <v>64</v>
      </c>
      <c r="O2" t="s">
        <v>65</v>
      </c>
    </row>
    <row r="3" spans="1:15">
      <c r="A3" t="s">
        <v>12</v>
      </c>
      <c r="B3">
        <v>749395</v>
      </c>
      <c r="C3" t="s">
        <v>66</v>
      </c>
      <c r="D3">
        <v>862330.4</v>
      </c>
      <c r="E3" t="s">
        <v>67</v>
      </c>
      <c r="F3">
        <v>31495</v>
      </c>
      <c r="G3">
        <v>0</v>
      </c>
      <c r="H3" t="s">
        <v>68</v>
      </c>
      <c r="I3">
        <v>127055.37</v>
      </c>
      <c r="J3">
        <v>989385.76</v>
      </c>
      <c r="K3">
        <v>0</v>
      </c>
      <c r="L3">
        <v>2</v>
      </c>
      <c r="M3">
        <v>14</v>
      </c>
      <c r="N3" t="s">
        <v>69</v>
      </c>
      <c r="O3" t="s">
        <v>70</v>
      </c>
    </row>
    <row r="4" spans="1:15">
      <c r="A4" t="s">
        <v>12</v>
      </c>
      <c r="B4">
        <v>17180050017</v>
      </c>
      <c r="C4" t="s">
        <v>66</v>
      </c>
      <c r="D4">
        <v>244661.83</v>
      </c>
      <c r="E4" t="s">
        <v>71</v>
      </c>
      <c r="F4">
        <v>0</v>
      </c>
      <c r="G4">
        <v>0</v>
      </c>
      <c r="H4" t="s">
        <v>72</v>
      </c>
      <c r="I4">
        <v>385771.52000000002</v>
      </c>
      <c r="J4">
        <v>630433.36</v>
      </c>
      <c r="K4">
        <v>0</v>
      </c>
      <c r="L4">
        <v>7</v>
      </c>
      <c r="M4">
        <v>23</v>
      </c>
      <c r="N4" t="s">
        <v>69</v>
      </c>
      <c r="O4" t="s">
        <v>70</v>
      </c>
    </row>
    <row r="5" spans="1:15">
      <c r="A5" t="s">
        <v>12</v>
      </c>
      <c r="B5">
        <v>25770127566</v>
      </c>
      <c r="C5" t="s">
        <v>66</v>
      </c>
      <c r="D5">
        <v>793903.68</v>
      </c>
      <c r="E5" t="s">
        <v>73</v>
      </c>
      <c r="F5">
        <v>17521</v>
      </c>
      <c r="G5">
        <v>0</v>
      </c>
      <c r="H5" t="s">
        <v>74</v>
      </c>
      <c r="I5">
        <v>1062568.51</v>
      </c>
      <c r="J5">
        <v>1856472.19</v>
      </c>
      <c r="K5">
        <v>0</v>
      </c>
      <c r="L5">
        <v>10</v>
      </c>
      <c r="M5">
        <v>13</v>
      </c>
      <c r="N5" t="s">
        <v>69</v>
      </c>
      <c r="O5" t="s">
        <v>70</v>
      </c>
    </row>
    <row r="6" spans="1:15">
      <c r="A6" t="s">
        <v>12</v>
      </c>
      <c r="B6">
        <v>51540311607</v>
      </c>
      <c r="C6" t="s">
        <v>66</v>
      </c>
      <c r="D6">
        <v>859685.14</v>
      </c>
      <c r="E6" t="s">
        <v>75</v>
      </c>
      <c r="F6">
        <v>107794</v>
      </c>
      <c r="G6">
        <v>0</v>
      </c>
      <c r="H6" t="s">
        <v>76</v>
      </c>
      <c r="I6">
        <v>30794925.949999999</v>
      </c>
      <c r="J6">
        <v>31654611.100000001</v>
      </c>
      <c r="K6">
        <v>0</v>
      </c>
      <c r="L6">
        <v>17</v>
      </c>
      <c r="M6">
        <v>19</v>
      </c>
      <c r="N6" t="s">
        <v>69</v>
      </c>
      <c r="O6" t="s">
        <v>70</v>
      </c>
    </row>
    <row r="7" spans="1:15">
      <c r="A7" t="s">
        <v>12</v>
      </c>
      <c r="B7">
        <v>60129611332</v>
      </c>
      <c r="C7" t="s">
        <v>66</v>
      </c>
      <c r="D7">
        <v>319316.07</v>
      </c>
      <c r="E7" t="s">
        <v>77</v>
      </c>
      <c r="F7">
        <v>0</v>
      </c>
      <c r="G7">
        <v>0</v>
      </c>
      <c r="H7" t="s">
        <v>78</v>
      </c>
      <c r="I7">
        <v>6757172.3799999999</v>
      </c>
      <c r="J7">
        <v>7076488.4500000002</v>
      </c>
      <c r="K7">
        <v>0</v>
      </c>
      <c r="L7">
        <v>23</v>
      </c>
      <c r="M7">
        <v>12</v>
      </c>
      <c r="N7" t="s">
        <v>69</v>
      </c>
      <c r="O7" t="s">
        <v>70</v>
      </c>
    </row>
    <row r="8" spans="1:15">
      <c r="A8" t="s">
        <v>17</v>
      </c>
      <c r="B8">
        <v>17180112079</v>
      </c>
      <c r="C8" t="s">
        <v>79</v>
      </c>
      <c r="D8">
        <v>133656.95000000001</v>
      </c>
      <c r="E8" t="s">
        <v>80</v>
      </c>
      <c r="F8">
        <v>106</v>
      </c>
      <c r="G8">
        <v>0</v>
      </c>
      <c r="H8" t="s">
        <v>81</v>
      </c>
      <c r="I8">
        <v>44743.06</v>
      </c>
      <c r="J8">
        <v>178400.02</v>
      </c>
      <c r="K8">
        <v>0</v>
      </c>
      <c r="L8">
        <v>8</v>
      </c>
      <c r="M8">
        <v>11</v>
      </c>
      <c r="N8" t="s">
        <v>69</v>
      </c>
      <c r="O8" t="s">
        <v>82</v>
      </c>
    </row>
    <row r="9" spans="1:15">
      <c r="A9" t="s">
        <v>17</v>
      </c>
      <c r="B9">
        <v>25769868761</v>
      </c>
      <c r="C9" t="s">
        <v>79</v>
      </c>
      <c r="D9">
        <v>136528.85</v>
      </c>
      <c r="E9" t="s">
        <v>83</v>
      </c>
      <c r="F9">
        <v>21751</v>
      </c>
      <c r="G9">
        <v>0</v>
      </c>
      <c r="H9" t="s">
        <v>84</v>
      </c>
      <c r="I9">
        <v>1740599.76</v>
      </c>
      <c r="J9">
        <v>1877128.61</v>
      </c>
      <c r="K9">
        <v>0</v>
      </c>
      <c r="L9">
        <v>9</v>
      </c>
      <c r="M9">
        <v>18</v>
      </c>
      <c r="N9" t="s">
        <v>69</v>
      </c>
      <c r="O9" t="s">
        <v>82</v>
      </c>
    </row>
    <row r="10" spans="1:15">
      <c r="A10" t="s">
        <v>17</v>
      </c>
      <c r="B10">
        <v>25770396457</v>
      </c>
      <c r="C10" t="s">
        <v>79</v>
      </c>
      <c r="D10">
        <v>400261.69</v>
      </c>
      <c r="E10" t="s">
        <v>85</v>
      </c>
      <c r="F10">
        <v>341282</v>
      </c>
      <c r="G10">
        <v>0</v>
      </c>
      <c r="H10" t="s">
        <v>86</v>
      </c>
      <c r="I10">
        <v>2349333.35</v>
      </c>
      <c r="J10">
        <v>2749595.04</v>
      </c>
      <c r="K10">
        <v>0</v>
      </c>
      <c r="L10">
        <v>11</v>
      </c>
      <c r="M10">
        <v>9</v>
      </c>
      <c r="N10" t="s">
        <v>69</v>
      </c>
      <c r="O10" t="s">
        <v>82</v>
      </c>
    </row>
    <row r="11" spans="1:15">
      <c r="A11" t="s">
        <v>17</v>
      </c>
      <c r="B11">
        <v>34359884270</v>
      </c>
      <c r="C11" t="s">
        <v>79</v>
      </c>
      <c r="D11">
        <v>110195.4</v>
      </c>
      <c r="E11" t="s">
        <v>87</v>
      </c>
      <c r="F11">
        <v>55145</v>
      </c>
      <c r="G11">
        <v>0</v>
      </c>
      <c r="H11" t="s">
        <v>88</v>
      </c>
      <c r="I11">
        <v>181083.7</v>
      </c>
      <c r="J11">
        <v>291279.09999999998</v>
      </c>
      <c r="K11">
        <v>0</v>
      </c>
      <c r="L11">
        <v>12</v>
      </c>
      <c r="M11">
        <v>9</v>
      </c>
      <c r="N11" t="s">
        <v>69</v>
      </c>
      <c r="O11" t="s">
        <v>82</v>
      </c>
    </row>
    <row r="12" spans="1:15">
      <c r="A12" t="s">
        <v>17</v>
      </c>
      <c r="B12">
        <v>51539656350</v>
      </c>
      <c r="C12" t="s">
        <v>79</v>
      </c>
      <c r="D12">
        <v>541587.64</v>
      </c>
      <c r="E12" t="s">
        <v>89</v>
      </c>
      <c r="F12">
        <v>110714</v>
      </c>
      <c r="G12">
        <v>0</v>
      </c>
      <c r="H12" t="s">
        <v>90</v>
      </c>
      <c r="I12">
        <v>0</v>
      </c>
      <c r="J12">
        <v>541587.64</v>
      </c>
      <c r="K12">
        <v>0</v>
      </c>
      <c r="L12">
        <v>16</v>
      </c>
      <c r="M12">
        <v>11</v>
      </c>
      <c r="N12" t="s">
        <v>69</v>
      </c>
      <c r="O12" t="s">
        <v>82</v>
      </c>
    </row>
    <row r="13" spans="1:15">
      <c r="A13" t="s">
        <v>21</v>
      </c>
      <c r="B13">
        <v>274251</v>
      </c>
      <c r="C13" t="s">
        <v>79</v>
      </c>
      <c r="D13">
        <v>154096.75</v>
      </c>
      <c r="E13" t="s">
        <v>91</v>
      </c>
      <c r="F13">
        <v>70134</v>
      </c>
      <c r="G13">
        <v>0</v>
      </c>
      <c r="H13" t="s">
        <v>92</v>
      </c>
      <c r="I13">
        <v>0</v>
      </c>
      <c r="J13">
        <v>0</v>
      </c>
      <c r="K13">
        <v>0</v>
      </c>
      <c r="L13">
        <v>1</v>
      </c>
      <c r="M13">
        <v>15</v>
      </c>
      <c r="N13" t="s">
        <v>69</v>
      </c>
      <c r="O13" t="s">
        <v>93</v>
      </c>
    </row>
    <row r="14" spans="1:15">
      <c r="A14" t="s">
        <v>21</v>
      </c>
      <c r="B14">
        <v>42949732483</v>
      </c>
      <c r="C14" t="s">
        <v>66</v>
      </c>
      <c r="D14">
        <v>171200.54</v>
      </c>
      <c r="E14" t="s">
        <v>94</v>
      </c>
      <c r="F14">
        <v>171200.54</v>
      </c>
      <c r="G14">
        <v>0</v>
      </c>
      <c r="H14" t="s">
        <v>95</v>
      </c>
      <c r="I14">
        <v>0</v>
      </c>
      <c r="J14">
        <v>0</v>
      </c>
      <c r="K14">
        <v>1</v>
      </c>
      <c r="L14">
        <v>14</v>
      </c>
      <c r="M14">
        <v>8</v>
      </c>
      <c r="N14" t="s">
        <v>96</v>
      </c>
      <c r="O14" t="s">
        <v>97</v>
      </c>
    </row>
    <row r="15" spans="1:15">
      <c r="A15" t="s">
        <v>21</v>
      </c>
      <c r="B15">
        <v>60129758598</v>
      </c>
      <c r="C15" t="s">
        <v>66</v>
      </c>
      <c r="D15">
        <v>7922.98</v>
      </c>
      <c r="E15" t="s">
        <v>98</v>
      </c>
      <c r="F15">
        <v>7922.98</v>
      </c>
      <c r="G15">
        <v>0</v>
      </c>
      <c r="H15" t="s">
        <v>99</v>
      </c>
      <c r="I15">
        <v>0</v>
      </c>
      <c r="J15">
        <v>0</v>
      </c>
      <c r="K15">
        <v>1</v>
      </c>
      <c r="L15">
        <v>27</v>
      </c>
      <c r="M15">
        <v>5</v>
      </c>
      <c r="N15" t="s">
        <v>96</v>
      </c>
      <c r="O15" t="s">
        <v>97</v>
      </c>
    </row>
    <row r="16" spans="1:15">
      <c r="A16" t="s">
        <v>21</v>
      </c>
      <c r="B16">
        <v>60129759291</v>
      </c>
      <c r="C16" t="s">
        <v>66</v>
      </c>
      <c r="D16">
        <v>58521.53</v>
      </c>
      <c r="E16" t="s">
        <v>100</v>
      </c>
      <c r="F16">
        <v>58521.53</v>
      </c>
      <c r="G16">
        <v>0</v>
      </c>
      <c r="H16" t="s">
        <v>101</v>
      </c>
      <c r="I16">
        <v>0</v>
      </c>
      <c r="J16">
        <v>0</v>
      </c>
      <c r="K16">
        <v>1</v>
      </c>
      <c r="L16">
        <v>27</v>
      </c>
      <c r="M16">
        <v>13</v>
      </c>
      <c r="N16" t="s">
        <v>96</v>
      </c>
      <c r="O16" t="s">
        <v>97</v>
      </c>
    </row>
    <row r="17" spans="1:15">
      <c r="A17" t="s">
        <v>21</v>
      </c>
      <c r="B17">
        <v>60129762238</v>
      </c>
      <c r="C17" t="s">
        <v>66</v>
      </c>
      <c r="D17">
        <v>246250.77</v>
      </c>
      <c r="E17" t="s">
        <v>102</v>
      </c>
      <c r="F17">
        <v>246250.77</v>
      </c>
      <c r="G17">
        <v>0</v>
      </c>
      <c r="H17" t="s">
        <v>103</v>
      </c>
      <c r="I17">
        <v>0</v>
      </c>
      <c r="J17">
        <v>0</v>
      </c>
      <c r="K17">
        <v>1</v>
      </c>
      <c r="L17">
        <v>27</v>
      </c>
      <c r="M17">
        <v>15</v>
      </c>
      <c r="N17" t="s">
        <v>96</v>
      </c>
      <c r="O17" t="s">
        <v>97</v>
      </c>
    </row>
    <row r="18" spans="1:15">
      <c r="A18" t="s">
        <v>25</v>
      </c>
      <c r="B18">
        <v>25770230333</v>
      </c>
      <c r="C18" t="s">
        <v>66</v>
      </c>
      <c r="D18">
        <v>48156.69</v>
      </c>
      <c r="E18" t="s">
        <v>104</v>
      </c>
      <c r="F18">
        <v>48156.69</v>
      </c>
      <c r="G18">
        <v>0</v>
      </c>
      <c r="H18" t="s">
        <v>105</v>
      </c>
      <c r="I18">
        <v>0</v>
      </c>
      <c r="J18">
        <v>0</v>
      </c>
      <c r="K18">
        <v>1</v>
      </c>
      <c r="L18">
        <v>10</v>
      </c>
      <c r="M18">
        <v>17</v>
      </c>
      <c r="N18" t="s">
        <v>96</v>
      </c>
      <c r="O18" t="s">
        <v>106</v>
      </c>
    </row>
    <row r="19" spans="1:15">
      <c r="A19" t="s">
        <v>25</v>
      </c>
      <c r="B19">
        <v>34360442795</v>
      </c>
      <c r="C19" t="s">
        <v>66</v>
      </c>
      <c r="D19">
        <v>10000000</v>
      </c>
      <c r="E19" t="s">
        <v>107</v>
      </c>
      <c r="F19">
        <v>5004</v>
      </c>
      <c r="G19">
        <v>0</v>
      </c>
      <c r="H19" t="s">
        <v>108</v>
      </c>
      <c r="I19">
        <v>2563195.37</v>
      </c>
      <c r="J19">
        <v>23097628.489999998</v>
      </c>
      <c r="K19">
        <v>0</v>
      </c>
      <c r="L19">
        <v>13</v>
      </c>
      <c r="M19">
        <v>16</v>
      </c>
      <c r="N19" t="s">
        <v>69</v>
      </c>
      <c r="O19" t="s">
        <v>109</v>
      </c>
    </row>
    <row r="20" spans="1:15">
      <c r="A20" t="s">
        <v>25</v>
      </c>
      <c r="B20">
        <v>34360448136</v>
      </c>
      <c r="C20" t="s">
        <v>66</v>
      </c>
      <c r="D20">
        <v>10000000</v>
      </c>
      <c r="E20" t="s">
        <v>110</v>
      </c>
      <c r="F20">
        <v>4662</v>
      </c>
      <c r="G20">
        <v>0</v>
      </c>
      <c r="H20" s="2" t="s">
        <v>111</v>
      </c>
      <c r="I20">
        <v>4988154.5</v>
      </c>
      <c r="J20">
        <v>76556199.069999993</v>
      </c>
      <c r="K20">
        <v>0</v>
      </c>
      <c r="L20">
        <v>13</v>
      </c>
      <c r="M20">
        <v>16</v>
      </c>
      <c r="N20" t="s">
        <v>69</v>
      </c>
      <c r="O20" t="s">
        <v>109</v>
      </c>
    </row>
    <row r="21" spans="1:15">
      <c r="A21" t="s">
        <v>25</v>
      </c>
      <c r="B21">
        <v>51540402222</v>
      </c>
      <c r="C21" t="s">
        <v>66</v>
      </c>
      <c r="D21">
        <v>206985.26</v>
      </c>
      <c r="E21" t="s">
        <v>112</v>
      </c>
      <c r="F21">
        <v>206985.26</v>
      </c>
      <c r="G21">
        <v>0</v>
      </c>
      <c r="H21" t="s">
        <v>113</v>
      </c>
      <c r="I21">
        <v>0</v>
      </c>
      <c r="J21">
        <v>0</v>
      </c>
      <c r="K21">
        <v>1</v>
      </c>
      <c r="L21">
        <v>18</v>
      </c>
      <c r="M21">
        <v>2</v>
      </c>
      <c r="N21" t="s">
        <v>96</v>
      </c>
      <c r="O21" t="s">
        <v>106</v>
      </c>
    </row>
    <row r="22" spans="1:15">
      <c r="A22" t="s">
        <v>25</v>
      </c>
      <c r="B22">
        <v>60129848046</v>
      </c>
      <c r="C22" t="s">
        <v>66</v>
      </c>
      <c r="D22">
        <v>252667.75</v>
      </c>
      <c r="E22" t="s">
        <v>114</v>
      </c>
      <c r="F22">
        <v>252667.75</v>
      </c>
      <c r="G22">
        <v>0</v>
      </c>
      <c r="H22" t="s">
        <v>115</v>
      </c>
      <c r="I22">
        <v>0</v>
      </c>
      <c r="J22">
        <v>0</v>
      </c>
      <c r="K22">
        <v>1</v>
      </c>
      <c r="L22">
        <v>31</v>
      </c>
      <c r="M22">
        <v>8</v>
      </c>
      <c r="N22" t="s">
        <v>96</v>
      </c>
      <c r="O22" t="s">
        <v>106</v>
      </c>
    </row>
    <row r="23" spans="1:15">
      <c r="A23" t="s">
        <v>29</v>
      </c>
      <c r="B23">
        <v>551882</v>
      </c>
      <c r="C23" t="s">
        <v>79</v>
      </c>
      <c r="D23">
        <v>142726.81</v>
      </c>
      <c r="E23" t="s">
        <v>116</v>
      </c>
      <c r="F23">
        <v>21545</v>
      </c>
      <c r="G23">
        <v>0</v>
      </c>
      <c r="H23" t="s">
        <v>117</v>
      </c>
      <c r="I23">
        <v>985520.54</v>
      </c>
      <c r="J23">
        <v>1128247.3500000001</v>
      </c>
      <c r="K23">
        <v>0</v>
      </c>
      <c r="L23">
        <v>1</v>
      </c>
      <c r="M23">
        <v>21</v>
      </c>
      <c r="N23" t="s">
        <v>69</v>
      </c>
      <c r="O23" t="s">
        <v>118</v>
      </c>
    </row>
    <row r="24" spans="1:15">
      <c r="A24" t="s">
        <v>29</v>
      </c>
      <c r="B24">
        <v>8590114366</v>
      </c>
      <c r="C24" t="s">
        <v>79</v>
      </c>
      <c r="D24">
        <v>118983.03</v>
      </c>
      <c r="E24" t="s">
        <v>119</v>
      </c>
      <c r="F24">
        <v>0</v>
      </c>
      <c r="G24">
        <v>0</v>
      </c>
      <c r="H24" t="s">
        <v>120</v>
      </c>
      <c r="I24">
        <v>1033354.53</v>
      </c>
      <c r="J24">
        <v>1152337.56</v>
      </c>
      <c r="K24">
        <v>0</v>
      </c>
      <c r="L24">
        <v>4</v>
      </c>
      <c r="M24">
        <v>0</v>
      </c>
      <c r="N24" t="s">
        <v>69</v>
      </c>
      <c r="O24" t="s">
        <v>118</v>
      </c>
    </row>
    <row r="25" spans="1:15">
      <c r="A25" t="s">
        <v>29</v>
      </c>
      <c r="B25">
        <v>8590704097</v>
      </c>
      <c r="C25" t="s">
        <v>79</v>
      </c>
      <c r="D25">
        <v>25448.27</v>
      </c>
      <c r="E25" t="s">
        <v>121</v>
      </c>
      <c r="F25">
        <v>0</v>
      </c>
      <c r="G25">
        <v>0</v>
      </c>
      <c r="H25" t="s">
        <v>122</v>
      </c>
      <c r="I25">
        <v>4236901.29</v>
      </c>
      <c r="J25">
        <v>4262349.5599999996</v>
      </c>
      <c r="K25">
        <v>0</v>
      </c>
      <c r="L25">
        <v>7</v>
      </c>
      <c r="M25">
        <v>13</v>
      </c>
      <c r="N25" t="s">
        <v>69</v>
      </c>
      <c r="O25" t="s">
        <v>118</v>
      </c>
    </row>
    <row r="26" spans="1:15">
      <c r="A26" t="s">
        <v>29</v>
      </c>
      <c r="B26">
        <v>17180258896</v>
      </c>
      <c r="C26" t="s">
        <v>79</v>
      </c>
      <c r="D26">
        <v>47603.88</v>
      </c>
      <c r="E26" t="s">
        <v>123</v>
      </c>
      <c r="F26">
        <v>0</v>
      </c>
      <c r="G26">
        <v>0</v>
      </c>
      <c r="H26" t="s">
        <v>124</v>
      </c>
      <c r="I26">
        <v>1386365.17</v>
      </c>
      <c r="J26">
        <v>1433969.05</v>
      </c>
      <c r="K26">
        <v>0</v>
      </c>
      <c r="L26">
        <v>8</v>
      </c>
      <c r="M26">
        <v>15</v>
      </c>
      <c r="N26" t="s">
        <v>69</v>
      </c>
      <c r="O26" t="s">
        <v>118</v>
      </c>
    </row>
    <row r="27" spans="1:15">
      <c r="A27" t="s">
        <v>29</v>
      </c>
      <c r="B27">
        <v>25770459434</v>
      </c>
      <c r="C27" t="s">
        <v>79</v>
      </c>
      <c r="D27">
        <v>7093.39</v>
      </c>
      <c r="E27" t="s">
        <v>125</v>
      </c>
      <c r="F27">
        <v>0</v>
      </c>
      <c r="G27">
        <v>0</v>
      </c>
      <c r="H27" t="s">
        <v>126</v>
      </c>
      <c r="I27">
        <v>17678.07</v>
      </c>
      <c r="J27">
        <v>24771.46</v>
      </c>
      <c r="K27">
        <v>0</v>
      </c>
      <c r="L27">
        <v>11</v>
      </c>
      <c r="M27">
        <v>11</v>
      </c>
      <c r="N27" t="s">
        <v>69</v>
      </c>
      <c r="O27" t="s">
        <v>118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B5F69-D6A8-4C33-8BF2-1077DC6BA216}">
  <dimension ref="A1:E5"/>
  <sheetViews>
    <sheetView workbookViewId="0">
      <selection activeCell="R3" sqref="R3"/>
    </sheetView>
  </sheetViews>
  <sheetFormatPr defaultRowHeight="15"/>
  <cols>
    <col min="1" max="1" width="12.5703125" customWidth="1"/>
    <col min="2" max="2" width="13.7109375" customWidth="1"/>
    <col min="3" max="3" width="17.140625" customWidth="1"/>
    <col min="4" max="4" width="18.7109375" customWidth="1"/>
    <col min="5" max="5" width="17" customWidth="1"/>
  </cols>
  <sheetData>
    <row r="1" spans="1:5">
      <c r="A1" t="s">
        <v>38</v>
      </c>
      <c r="B1" t="s">
        <v>34</v>
      </c>
      <c r="C1" t="s">
        <v>35</v>
      </c>
      <c r="D1" t="s">
        <v>36</v>
      </c>
      <c r="E1" t="s">
        <v>37</v>
      </c>
    </row>
    <row r="2" spans="1:5">
      <c r="A2">
        <v>100000</v>
      </c>
      <c r="B2">
        <v>470866</v>
      </c>
      <c r="C2">
        <v>3255</v>
      </c>
      <c r="D2">
        <v>0.69</v>
      </c>
      <c r="E2">
        <v>39.630000000000003</v>
      </c>
    </row>
    <row r="3" spans="1:5">
      <c r="A3">
        <v>200000</v>
      </c>
      <c r="B3">
        <v>409110</v>
      </c>
      <c r="C3">
        <v>2740</v>
      </c>
      <c r="D3">
        <v>0.67</v>
      </c>
      <c r="E3">
        <v>33.36</v>
      </c>
    </row>
    <row r="4" spans="1:5">
      <c r="A4">
        <v>500000</v>
      </c>
      <c r="B4">
        <v>261068</v>
      </c>
      <c r="C4">
        <v>1940</v>
      </c>
      <c r="D4">
        <v>0.74</v>
      </c>
      <c r="E4">
        <v>23.62</v>
      </c>
    </row>
    <row r="5" spans="1:5">
      <c r="A5">
        <v>1000000</v>
      </c>
      <c r="B5">
        <v>128859</v>
      </c>
      <c r="C5">
        <v>1361</v>
      </c>
      <c r="D5">
        <v>1.06</v>
      </c>
      <c r="E5">
        <v>16.57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2026-10-01T15:43:06Z</dcterms:created>
  <dcterms:modified xsi:type="dcterms:W3CDTF">2026-10-05T20:26:27Z</dcterms:modified>
  <cp:category/>
  <cp:contentStatus/>
</cp:coreProperties>
</file>